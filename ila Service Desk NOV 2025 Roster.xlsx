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kabc-my.sharepoint.com/personal/ahmed_ashoor_bank-abc_com/Documents/Desktop/Shift Rosters/"/>
    </mc:Choice>
  </mc:AlternateContent>
  <xr:revisionPtr revIDLastSave="126" documentId="8_{E92936CF-C2D2-4304-86D6-80FD50121B57}" xr6:coauthVersionLast="47" xr6:coauthVersionMax="47" xr10:uidLastSave="{F4D8F33F-7376-49B7-A447-2C789F0587EA}"/>
  <bookViews>
    <workbookView xWindow="28680" yWindow="-120" windowWidth="29040" windowHeight="15720" xr2:uid="{451C7414-0EA7-4046-9084-181237CC7FAA}"/>
  </bookViews>
  <sheets>
    <sheet name="NOV" sheetId="1" r:id="rId1"/>
  </sheets>
  <definedNames>
    <definedName name="_xlnm._FilterDatabase" localSheetId="0" hidden="1">NOV!$A$1:$A$12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</calcChain>
</file>

<file path=xl/sharedStrings.xml><?xml version="1.0" encoding="utf-8"?>
<sst xmlns="http://schemas.openxmlformats.org/spreadsheetml/2006/main" count="443" uniqueCount="31">
  <si>
    <t>Tue</t>
  </si>
  <si>
    <t>Wed</t>
  </si>
  <si>
    <t>Thu</t>
  </si>
  <si>
    <t>Fri</t>
  </si>
  <si>
    <t>Sat</t>
  </si>
  <si>
    <t>Sun</t>
  </si>
  <si>
    <t>Mon</t>
  </si>
  <si>
    <t>Date</t>
  </si>
  <si>
    <t>OFF</t>
  </si>
  <si>
    <t>Zainab AlQassab</t>
  </si>
  <si>
    <t>A</t>
  </si>
  <si>
    <t>M</t>
  </si>
  <si>
    <t>N</t>
  </si>
  <si>
    <t>Mohammed Alsayed</t>
  </si>
  <si>
    <t>Mohamed Hasan</t>
  </si>
  <si>
    <t>Jaafar Alaali (JA)</t>
  </si>
  <si>
    <t>Nooh Alrashedi (NA)</t>
  </si>
  <si>
    <t>Husain Aljawhara</t>
  </si>
  <si>
    <t>Redha Ali</t>
  </si>
  <si>
    <t>Omar Abid</t>
  </si>
  <si>
    <t>Belal Baloosh</t>
  </si>
  <si>
    <t>G</t>
  </si>
  <si>
    <t>Muhannad AlShareefa</t>
  </si>
  <si>
    <t>Morning</t>
  </si>
  <si>
    <t>Afternoon</t>
  </si>
  <si>
    <t>Night</t>
  </si>
  <si>
    <t>Overlap (12 PM)</t>
  </si>
  <si>
    <t>OL</t>
  </si>
  <si>
    <t>Ahmed Qannati</t>
  </si>
  <si>
    <t>N/A</t>
  </si>
  <si>
    <t>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</si>
</sst>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theme="1" tint="4.9989318521683403E-2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0"/>
      <name val="Candara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6B8B7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" fontId="3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16" fontId="3" fillId="3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0" borderId="0" xfId="0" applyFont="1"/>
    <xf numFmtId="16" fontId="2" fillId="3" borderId="1" xfId="0" applyNumberFormat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2711-E6C6-4E2D-B195-520B99236AF3}">
  <dimension ref="A1:AM24"/>
  <sheetViews>
    <sheetView tabSelected="1" zoomScaleNormal="100" workbookViewId="0">
      <pane xSplit="1" topLeftCell="B1" activePane="topRight" state="frozen"/>
      <selection pane="topRight" activeCell="F27" sqref="F27"/>
    </sheetView>
  </sheetViews>
  <sheetFormatPr defaultRowHeight="15" x14ac:dyDescent="0.25"/>
  <cols>
    <col min="1" max="1" width="24" bestFit="1" customWidth="1"/>
  </cols>
  <sheetData>
    <row r="1" spans="1:39" x14ac:dyDescent="0.25">
      <c r="A1" s="1"/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  <c r="Z1" s="2" t="s">
        <v>5</v>
      </c>
      <c r="AA1" s="2" t="s">
        <v>6</v>
      </c>
      <c r="AB1" s="2" t="s">
        <v>0</v>
      </c>
      <c r="AC1" s="2" t="s">
        <v>1</v>
      </c>
      <c r="AD1" s="2" t="s">
        <v>2</v>
      </c>
      <c r="AE1" s="2" t="s">
        <v>3</v>
      </c>
      <c r="AF1" s="2" t="s">
        <v>4</v>
      </c>
      <c r="AG1" s="2" t="s">
        <v>5</v>
      </c>
      <c r="AH1" s="2" t="s">
        <v>6</v>
      </c>
      <c r="AI1" s="2" t="s">
        <v>0</v>
      </c>
      <c r="AJ1" s="2" t="s">
        <v>1</v>
      </c>
      <c r="AK1" s="2" t="s">
        <v>2</v>
      </c>
      <c r="AL1" s="2" t="s">
        <v>3</v>
      </c>
      <c r="AM1" s="2" t="s">
        <v>4</v>
      </c>
    </row>
    <row r="2" spans="1:39" x14ac:dyDescent="0.25">
      <c r="A2" s="3" t="s">
        <v>7</v>
      </c>
      <c r="B2" s="4">
        <v>45960</v>
      </c>
      <c r="C2" s="4">
        <v>45961</v>
      </c>
      <c r="D2" s="4">
        <v>45962</v>
      </c>
      <c r="E2" s="4">
        <v>45963</v>
      </c>
      <c r="F2" s="4">
        <v>45964</v>
      </c>
      <c r="G2" s="4">
        <v>45965</v>
      </c>
      <c r="H2" s="4">
        <v>45966</v>
      </c>
      <c r="I2" s="4">
        <v>45967</v>
      </c>
      <c r="J2" s="4">
        <v>45968</v>
      </c>
      <c r="K2" s="4">
        <v>45969</v>
      </c>
      <c r="L2" s="4">
        <v>45970</v>
      </c>
      <c r="M2" s="4">
        <v>45971</v>
      </c>
      <c r="N2" s="4">
        <v>45972</v>
      </c>
      <c r="O2" s="4">
        <v>45973</v>
      </c>
      <c r="P2" s="4">
        <v>45974</v>
      </c>
      <c r="Q2" s="4">
        <v>45975</v>
      </c>
      <c r="R2" s="4">
        <v>45976</v>
      </c>
      <c r="S2" s="4">
        <v>45977</v>
      </c>
      <c r="T2" s="4">
        <v>45978</v>
      </c>
      <c r="U2" s="4">
        <v>45979</v>
      </c>
      <c r="V2" s="4">
        <v>45980</v>
      </c>
      <c r="W2" s="4">
        <v>45981</v>
      </c>
      <c r="X2" s="4">
        <v>45982</v>
      </c>
      <c r="Y2" s="4">
        <v>45983</v>
      </c>
      <c r="Z2" s="4">
        <v>45984</v>
      </c>
      <c r="AA2" s="4">
        <v>45985</v>
      </c>
      <c r="AB2" s="4">
        <v>45986</v>
      </c>
      <c r="AC2" s="4">
        <v>45987</v>
      </c>
      <c r="AD2" s="4">
        <v>45988</v>
      </c>
      <c r="AE2" s="4">
        <v>45989</v>
      </c>
      <c r="AF2" s="4">
        <v>45990</v>
      </c>
      <c r="AG2" s="4">
        <v>45991</v>
      </c>
      <c r="AH2" s="4">
        <v>45992</v>
      </c>
      <c r="AI2" s="4">
        <v>45993</v>
      </c>
      <c r="AJ2" s="4">
        <v>45994</v>
      </c>
      <c r="AK2" s="4">
        <v>45995</v>
      </c>
      <c r="AL2" s="4">
        <v>45996</v>
      </c>
      <c r="AM2" s="4">
        <v>45997</v>
      </c>
    </row>
    <row r="3" spans="1:39" x14ac:dyDescent="0.25">
      <c r="A3" s="12" t="s">
        <v>16</v>
      </c>
      <c r="B3" s="6" t="s">
        <v>21</v>
      </c>
      <c r="C3" s="7" t="s">
        <v>8</v>
      </c>
      <c r="D3" s="7" t="s">
        <v>8</v>
      </c>
      <c r="E3" s="14" t="s">
        <v>30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7" t="s">
        <v>8</v>
      </c>
      <c r="R3" s="7" t="s">
        <v>8</v>
      </c>
      <c r="S3" s="6" t="s">
        <v>21</v>
      </c>
      <c r="T3" s="6" t="s">
        <v>21</v>
      </c>
      <c r="U3" s="6" t="s">
        <v>21</v>
      </c>
      <c r="V3" s="6" t="s">
        <v>21</v>
      </c>
      <c r="W3" s="6" t="s">
        <v>21</v>
      </c>
      <c r="X3" s="7" t="s">
        <v>8</v>
      </c>
      <c r="Y3" s="7" t="s">
        <v>8</v>
      </c>
      <c r="Z3" s="6" t="s">
        <v>21</v>
      </c>
      <c r="AA3" s="6" t="s">
        <v>21</v>
      </c>
      <c r="AB3" s="6" t="s">
        <v>21</v>
      </c>
      <c r="AC3" s="6" t="s">
        <v>21</v>
      </c>
      <c r="AD3" s="6" t="s">
        <v>21</v>
      </c>
      <c r="AE3" s="7" t="s">
        <v>8</v>
      </c>
      <c r="AF3" s="7" t="s">
        <v>8</v>
      </c>
      <c r="AG3" s="6" t="s">
        <v>21</v>
      </c>
      <c r="AH3" s="6" t="s">
        <v>21</v>
      </c>
      <c r="AI3" s="6" t="s">
        <v>21</v>
      </c>
      <c r="AJ3" s="6" t="s">
        <v>21</v>
      </c>
      <c r="AK3" s="6" t="s">
        <v>21</v>
      </c>
      <c r="AL3" s="7" t="s">
        <v>8</v>
      </c>
      <c r="AM3" s="7" t="s">
        <v>8</v>
      </c>
    </row>
    <row r="4" spans="1:39" x14ac:dyDescent="0.25">
      <c r="A4" s="12" t="s">
        <v>9</v>
      </c>
      <c r="B4" s="6" t="s">
        <v>11</v>
      </c>
      <c r="C4" s="6" t="s">
        <v>11</v>
      </c>
      <c r="D4" s="7" t="s">
        <v>8</v>
      </c>
      <c r="E4" s="7" t="s">
        <v>8</v>
      </c>
      <c r="F4" s="10" t="s">
        <v>12</v>
      </c>
      <c r="G4" s="10" t="s">
        <v>12</v>
      </c>
      <c r="H4" s="10" t="s">
        <v>12</v>
      </c>
      <c r="I4" s="10" t="s">
        <v>12</v>
      </c>
      <c r="J4" s="10" t="s">
        <v>12</v>
      </c>
      <c r="K4" s="7" t="s">
        <v>8</v>
      </c>
      <c r="L4" s="7" t="s">
        <v>8</v>
      </c>
      <c r="M4" s="8" t="s">
        <v>10</v>
      </c>
      <c r="N4" s="8" t="s">
        <v>10</v>
      </c>
      <c r="O4" s="8" t="s">
        <v>10</v>
      </c>
      <c r="P4" s="8" t="s">
        <v>10</v>
      </c>
      <c r="Q4" s="8" t="s">
        <v>10</v>
      </c>
      <c r="R4" s="7" t="s">
        <v>8</v>
      </c>
      <c r="S4" s="7" t="s">
        <v>8</v>
      </c>
      <c r="T4" s="6" t="s">
        <v>11</v>
      </c>
      <c r="U4" s="6" t="s">
        <v>11</v>
      </c>
      <c r="V4" s="6" t="s">
        <v>11</v>
      </c>
      <c r="W4" s="6" t="s">
        <v>11</v>
      </c>
      <c r="X4" s="6" t="s">
        <v>11</v>
      </c>
      <c r="Y4" s="7" t="s">
        <v>8</v>
      </c>
      <c r="Z4" s="7" t="s">
        <v>8</v>
      </c>
      <c r="AA4" s="10" t="s">
        <v>12</v>
      </c>
      <c r="AB4" s="10" t="s">
        <v>12</v>
      </c>
      <c r="AC4" s="10" t="s">
        <v>12</v>
      </c>
      <c r="AD4" s="10" t="s">
        <v>12</v>
      </c>
      <c r="AE4" s="10" t="s">
        <v>12</v>
      </c>
      <c r="AF4" s="7" t="s">
        <v>8</v>
      </c>
      <c r="AG4" s="7" t="s">
        <v>8</v>
      </c>
      <c r="AH4" s="16" t="s">
        <v>30</v>
      </c>
      <c r="AI4" s="17"/>
      <c r="AJ4" s="17"/>
      <c r="AK4" s="17"/>
      <c r="AL4" s="17"/>
      <c r="AM4" s="18"/>
    </row>
    <row r="5" spans="1:39" x14ac:dyDescent="0.25">
      <c r="A5" s="12" t="s">
        <v>13</v>
      </c>
      <c r="B5" s="13" t="s">
        <v>27</v>
      </c>
      <c r="C5" s="7" t="s">
        <v>8</v>
      </c>
      <c r="D5" s="7" t="s">
        <v>8</v>
      </c>
      <c r="E5" s="6" t="s">
        <v>21</v>
      </c>
      <c r="F5" s="6" t="s">
        <v>21</v>
      </c>
      <c r="G5" s="6" t="s">
        <v>21</v>
      </c>
      <c r="H5" s="6" t="s">
        <v>21</v>
      </c>
      <c r="I5" s="6" t="s">
        <v>21</v>
      </c>
      <c r="J5" s="7" t="s">
        <v>8</v>
      </c>
      <c r="K5" s="7" t="s">
        <v>8</v>
      </c>
      <c r="L5" s="6" t="s">
        <v>21</v>
      </c>
      <c r="M5" s="6" t="s">
        <v>21</v>
      </c>
      <c r="N5" s="6" t="s">
        <v>21</v>
      </c>
      <c r="O5" s="6" t="s">
        <v>21</v>
      </c>
      <c r="P5" s="6" t="s">
        <v>21</v>
      </c>
      <c r="Q5" s="7" t="s">
        <v>8</v>
      </c>
      <c r="R5" s="7" t="s">
        <v>8</v>
      </c>
      <c r="S5" s="13" t="s">
        <v>27</v>
      </c>
      <c r="T5" s="13" t="s">
        <v>27</v>
      </c>
      <c r="U5" s="13" t="s">
        <v>27</v>
      </c>
      <c r="V5" s="13" t="s">
        <v>27</v>
      </c>
      <c r="W5" s="13" t="s">
        <v>27</v>
      </c>
      <c r="X5" s="13" t="s">
        <v>27</v>
      </c>
      <c r="Y5" s="7" t="s">
        <v>8</v>
      </c>
      <c r="Z5" s="7" t="s">
        <v>8</v>
      </c>
      <c r="AA5" s="13" t="s">
        <v>27</v>
      </c>
      <c r="AB5" s="13" t="s">
        <v>27</v>
      </c>
      <c r="AC5" s="13" t="s">
        <v>27</v>
      </c>
      <c r="AD5" s="13" t="s">
        <v>27</v>
      </c>
      <c r="AE5" s="13" t="s">
        <v>27</v>
      </c>
      <c r="AF5" s="7" t="s">
        <v>8</v>
      </c>
      <c r="AG5" s="7" t="s">
        <v>8</v>
      </c>
      <c r="AH5" s="8" t="s">
        <v>10</v>
      </c>
      <c r="AI5" s="8" t="s">
        <v>10</v>
      </c>
      <c r="AJ5" s="8" t="s">
        <v>10</v>
      </c>
      <c r="AK5" s="8" t="s">
        <v>10</v>
      </c>
      <c r="AL5" s="8" t="s">
        <v>10</v>
      </c>
      <c r="AM5" s="7" t="s">
        <v>8</v>
      </c>
    </row>
    <row r="6" spans="1:39" x14ac:dyDescent="0.25">
      <c r="A6" s="12" t="s">
        <v>14</v>
      </c>
      <c r="B6" s="10" t="s">
        <v>12</v>
      </c>
      <c r="C6" s="10" t="s">
        <v>12</v>
      </c>
      <c r="D6" s="7" t="s">
        <v>8</v>
      </c>
      <c r="E6" s="7" t="s">
        <v>8</v>
      </c>
      <c r="F6" s="8" t="s">
        <v>10</v>
      </c>
      <c r="G6" s="8" t="s">
        <v>10</v>
      </c>
      <c r="H6" s="8" t="s">
        <v>10</v>
      </c>
      <c r="I6" s="8" t="s">
        <v>10</v>
      </c>
      <c r="J6" s="8" t="s">
        <v>10</v>
      </c>
      <c r="K6" s="7" t="s">
        <v>8</v>
      </c>
      <c r="L6" s="7" t="s">
        <v>8</v>
      </c>
      <c r="M6" s="6" t="s">
        <v>11</v>
      </c>
      <c r="N6" s="6" t="s">
        <v>11</v>
      </c>
      <c r="O6" s="6" t="s">
        <v>11</v>
      </c>
      <c r="P6" s="6" t="s">
        <v>11</v>
      </c>
      <c r="Q6" s="6" t="s">
        <v>11</v>
      </c>
      <c r="R6" s="7" t="s">
        <v>8</v>
      </c>
      <c r="S6" s="7" t="s">
        <v>8</v>
      </c>
      <c r="T6" s="8" t="s">
        <v>10</v>
      </c>
      <c r="U6" s="8" t="s">
        <v>10</v>
      </c>
      <c r="V6" s="8" t="s">
        <v>10</v>
      </c>
      <c r="W6" s="8" t="s">
        <v>10</v>
      </c>
      <c r="X6" s="8" t="s">
        <v>10</v>
      </c>
      <c r="Y6" s="7" t="s">
        <v>8</v>
      </c>
      <c r="Z6" s="15" t="s">
        <v>29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x14ac:dyDescent="0.25">
      <c r="A7" s="12" t="s">
        <v>15</v>
      </c>
      <c r="B7" s="7" t="s">
        <v>8</v>
      </c>
      <c r="C7" s="7" t="s">
        <v>8</v>
      </c>
      <c r="D7" s="10" t="s">
        <v>12</v>
      </c>
      <c r="E7" s="10" t="s">
        <v>12</v>
      </c>
      <c r="F7" s="10" t="s">
        <v>12</v>
      </c>
      <c r="G7" s="10" t="s">
        <v>12</v>
      </c>
      <c r="H7" s="10" t="s">
        <v>12</v>
      </c>
      <c r="I7" s="7" t="s">
        <v>8</v>
      </c>
      <c r="J7" s="7" t="s">
        <v>8</v>
      </c>
      <c r="K7" s="8" t="s">
        <v>10</v>
      </c>
      <c r="L7" s="8" t="s">
        <v>10</v>
      </c>
      <c r="M7" s="8" t="s">
        <v>10</v>
      </c>
      <c r="N7" s="8" t="s">
        <v>10</v>
      </c>
      <c r="O7" s="8" t="s">
        <v>10</v>
      </c>
      <c r="P7" s="7" t="s">
        <v>8</v>
      </c>
      <c r="Q7" s="7" t="s">
        <v>8</v>
      </c>
      <c r="R7" s="6" t="s">
        <v>11</v>
      </c>
      <c r="S7" s="6" t="s">
        <v>11</v>
      </c>
      <c r="T7" s="6" t="s">
        <v>11</v>
      </c>
      <c r="U7" s="6" t="s">
        <v>11</v>
      </c>
      <c r="V7" s="6" t="s">
        <v>11</v>
      </c>
      <c r="W7" s="7" t="s">
        <v>8</v>
      </c>
      <c r="X7" s="7" t="s">
        <v>8</v>
      </c>
      <c r="Y7" s="10" t="s">
        <v>12</v>
      </c>
      <c r="Z7" s="10" t="s">
        <v>12</v>
      </c>
      <c r="AA7" s="10" t="s">
        <v>12</v>
      </c>
      <c r="AB7" s="10" t="s">
        <v>12</v>
      </c>
      <c r="AC7" s="10" t="s">
        <v>12</v>
      </c>
      <c r="AD7" s="7" t="s">
        <v>8</v>
      </c>
      <c r="AE7" s="7" t="s">
        <v>8</v>
      </c>
      <c r="AF7" s="8" t="s">
        <v>10</v>
      </c>
      <c r="AG7" s="8" t="s">
        <v>10</v>
      </c>
      <c r="AH7" s="8" t="s">
        <v>10</v>
      </c>
      <c r="AI7" s="8" t="s">
        <v>10</v>
      </c>
      <c r="AJ7" s="8" t="s">
        <v>10</v>
      </c>
      <c r="AK7" s="7" t="s">
        <v>8</v>
      </c>
      <c r="AL7" s="7" t="s">
        <v>8</v>
      </c>
      <c r="AM7" s="6" t="s">
        <v>11</v>
      </c>
    </row>
    <row r="8" spans="1:39" x14ac:dyDescent="0.25">
      <c r="A8" s="12" t="s">
        <v>17</v>
      </c>
      <c r="B8" s="7" t="s">
        <v>8</v>
      </c>
      <c r="C8" s="7" t="s">
        <v>8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  <c r="I8" s="7" t="s">
        <v>8</v>
      </c>
      <c r="J8" s="7" t="s">
        <v>8</v>
      </c>
      <c r="K8" s="10" t="s">
        <v>12</v>
      </c>
      <c r="L8" s="10" t="s">
        <v>12</v>
      </c>
      <c r="M8" s="10" t="s">
        <v>12</v>
      </c>
      <c r="N8" s="10" t="s">
        <v>12</v>
      </c>
      <c r="O8" s="10" t="s">
        <v>12</v>
      </c>
      <c r="P8" s="7" t="s">
        <v>8</v>
      </c>
      <c r="Q8" s="7" t="s">
        <v>8</v>
      </c>
      <c r="R8" s="8" t="s">
        <v>10</v>
      </c>
      <c r="S8" s="8" t="s">
        <v>10</v>
      </c>
      <c r="T8" s="8" t="s">
        <v>10</v>
      </c>
      <c r="U8" s="8" t="s">
        <v>10</v>
      </c>
      <c r="V8" s="8" t="s">
        <v>10</v>
      </c>
      <c r="W8" s="7" t="s">
        <v>8</v>
      </c>
      <c r="X8" s="7" t="s">
        <v>8</v>
      </c>
      <c r="Y8" s="6" t="s">
        <v>11</v>
      </c>
      <c r="Z8" s="6" t="s">
        <v>11</v>
      </c>
      <c r="AA8" s="6" t="s">
        <v>11</v>
      </c>
      <c r="AB8" s="6" t="s">
        <v>11</v>
      </c>
      <c r="AC8" s="6" t="s">
        <v>11</v>
      </c>
      <c r="AD8" s="7" t="s">
        <v>8</v>
      </c>
      <c r="AE8" s="7" t="s">
        <v>8</v>
      </c>
      <c r="AF8" s="10" t="s">
        <v>12</v>
      </c>
      <c r="AG8" s="10" t="s">
        <v>12</v>
      </c>
      <c r="AH8" s="10" t="s">
        <v>12</v>
      </c>
      <c r="AI8" s="10" t="s">
        <v>12</v>
      </c>
      <c r="AJ8" s="10" t="s">
        <v>12</v>
      </c>
      <c r="AK8" s="7" t="s">
        <v>8</v>
      </c>
      <c r="AL8" s="7" t="s">
        <v>8</v>
      </c>
      <c r="AM8" s="8" t="s">
        <v>10</v>
      </c>
    </row>
    <row r="9" spans="1:39" x14ac:dyDescent="0.25">
      <c r="A9" s="12" t="s">
        <v>18</v>
      </c>
      <c r="B9" s="6" t="s">
        <v>11</v>
      </c>
      <c r="C9" s="6" t="s">
        <v>11</v>
      </c>
      <c r="D9" s="6" t="s">
        <v>11</v>
      </c>
      <c r="E9" s="6" t="s">
        <v>11</v>
      </c>
      <c r="F9" s="6" t="s">
        <v>11</v>
      </c>
      <c r="G9" s="7" t="s">
        <v>8</v>
      </c>
      <c r="H9" s="7" t="s">
        <v>8</v>
      </c>
      <c r="I9" s="10" t="s">
        <v>12</v>
      </c>
      <c r="J9" s="10" t="s">
        <v>12</v>
      </c>
      <c r="K9" s="10" t="s">
        <v>12</v>
      </c>
      <c r="L9" s="10" t="s">
        <v>12</v>
      </c>
      <c r="M9" s="10" t="s">
        <v>12</v>
      </c>
      <c r="N9" s="7" t="s">
        <v>8</v>
      </c>
      <c r="O9" s="7" t="s">
        <v>8</v>
      </c>
      <c r="P9" s="8" t="s">
        <v>10</v>
      </c>
      <c r="Q9" s="8" t="s">
        <v>10</v>
      </c>
      <c r="R9" s="8" t="s">
        <v>10</v>
      </c>
      <c r="S9" s="8" t="s">
        <v>10</v>
      </c>
      <c r="T9" s="8" t="s">
        <v>10</v>
      </c>
      <c r="U9" s="7" t="s">
        <v>8</v>
      </c>
      <c r="V9" s="7" t="s">
        <v>8</v>
      </c>
      <c r="W9" s="6" t="s">
        <v>11</v>
      </c>
      <c r="X9" s="6" t="s">
        <v>11</v>
      </c>
      <c r="Y9" s="6" t="s">
        <v>11</v>
      </c>
      <c r="Z9" s="6" t="s">
        <v>11</v>
      </c>
      <c r="AA9" s="6" t="s">
        <v>11</v>
      </c>
      <c r="AB9" s="7" t="s">
        <v>8</v>
      </c>
      <c r="AC9" s="7" t="s">
        <v>8</v>
      </c>
      <c r="AD9" s="10" t="s">
        <v>12</v>
      </c>
      <c r="AE9" s="10" t="s">
        <v>12</v>
      </c>
      <c r="AF9" s="10" t="s">
        <v>12</v>
      </c>
      <c r="AG9" s="10" t="s">
        <v>12</v>
      </c>
      <c r="AH9" s="10" t="s">
        <v>12</v>
      </c>
      <c r="AI9" s="7" t="s">
        <v>8</v>
      </c>
      <c r="AJ9" s="7" t="s">
        <v>8</v>
      </c>
      <c r="AK9" s="8" t="s">
        <v>10</v>
      </c>
      <c r="AL9" s="8" t="s">
        <v>10</v>
      </c>
      <c r="AM9" s="8" t="s">
        <v>10</v>
      </c>
    </row>
    <row r="10" spans="1:39" x14ac:dyDescent="0.25">
      <c r="A10" s="12" t="s">
        <v>19</v>
      </c>
      <c r="B10" s="8" t="s">
        <v>10</v>
      </c>
      <c r="C10" s="8" t="s">
        <v>10</v>
      </c>
      <c r="D10" s="8" t="s">
        <v>10</v>
      </c>
      <c r="E10" s="8" t="s">
        <v>10</v>
      </c>
      <c r="F10" s="8" t="s">
        <v>10</v>
      </c>
      <c r="G10" s="7" t="s">
        <v>8</v>
      </c>
      <c r="H10" s="7" t="s">
        <v>8</v>
      </c>
      <c r="I10" s="6" t="s">
        <v>11</v>
      </c>
      <c r="J10" s="6" t="s">
        <v>11</v>
      </c>
      <c r="K10" s="6" t="s">
        <v>11</v>
      </c>
      <c r="L10" s="6" t="s">
        <v>11</v>
      </c>
      <c r="M10" s="6" t="s">
        <v>11</v>
      </c>
      <c r="N10" s="7" t="s">
        <v>8</v>
      </c>
      <c r="O10" s="7" t="s">
        <v>8</v>
      </c>
      <c r="P10" s="10" t="s">
        <v>12</v>
      </c>
      <c r="Q10" s="10" t="s">
        <v>12</v>
      </c>
      <c r="R10" s="10" t="s">
        <v>12</v>
      </c>
      <c r="S10" s="10" t="s">
        <v>12</v>
      </c>
      <c r="T10" s="10" t="s">
        <v>12</v>
      </c>
      <c r="U10" s="7" t="s">
        <v>8</v>
      </c>
      <c r="V10" s="7" t="s">
        <v>8</v>
      </c>
      <c r="W10" s="8" t="s">
        <v>10</v>
      </c>
      <c r="X10" s="8" t="s">
        <v>10</v>
      </c>
      <c r="Y10" s="8" t="s">
        <v>10</v>
      </c>
      <c r="Z10" s="8" t="s">
        <v>10</v>
      </c>
      <c r="AA10" s="8" t="s">
        <v>10</v>
      </c>
      <c r="AB10" s="7" t="s">
        <v>8</v>
      </c>
      <c r="AC10" s="7" t="s">
        <v>8</v>
      </c>
      <c r="AD10" s="6" t="s">
        <v>11</v>
      </c>
      <c r="AE10" s="6" t="s">
        <v>11</v>
      </c>
      <c r="AF10" s="6" t="s">
        <v>11</v>
      </c>
      <c r="AG10" s="6" t="s">
        <v>11</v>
      </c>
      <c r="AH10" s="6" t="s">
        <v>11</v>
      </c>
      <c r="AI10" s="7" t="s">
        <v>8</v>
      </c>
      <c r="AJ10" s="7" t="s">
        <v>8</v>
      </c>
      <c r="AK10" s="10" t="s">
        <v>12</v>
      </c>
      <c r="AL10" s="10" t="s">
        <v>12</v>
      </c>
      <c r="AM10" s="10" t="s">
        <v>12</v>
      </c>
    </row>
    <row r="11" spans="1:39" x14ac:dyDescent="0.25">
      <c r="A11" s="12" t="s">
        <v>20</v>
      </c>
      <c r="B11" s="8" t="s">
        <v>10</v>
      </c>
      <c r="C11" s="8" t="s">
        <v>10</v>
      </c>
      <c r="D11" s="8" t="s">
        <v>10</v>
      </c>
      <c r="E11" s="7" t="s">
        <v>8</v>
      </c>
      <c r="F11" s="7" t="s">
        <v>8</v>
      </c>
      <c r="G11" s="6" t="s">
        <v>11</v>
      </c>
      <c r="H11" s="6" t="s">
        <v>11</v>
      </c>
      <c r="I11" s="6" t="s">
        <v>11</v>
      </c>
      <c r="J11" s="6" t="s">
        <v>11</v>
      </c>
      <c r="K11" s="6" t="s">
        <v>11</v>
      </c>
      <c r="L11" s="7" t="s">
        <v>8</v>
      </c>
      <c r="M11" s="7" t="s">
        <v>8</v>
      </c>
      <c r="N11" s="8" t="s">
        <v>10</v>
      </c>
      <c r="O11" s="8" t="s">
        <v>10</v>
      </c>
      <c r="P11" s="8" t="s">
        <v>10</v>
      </c>
      <c r="Q11" s="8" t="s">
        <v>10</v>
      </c>
      <c r="R11" s="8" t="s">
        <v>10</v>
      </c>
      <c r="S11" s="7" t="s">
        <v>8</v>
      </c>
      <c r="T11" s="7" t="s">
        <v>8</v>
      </c>
      <c r="U11" s="10" t="s">
        <v>12</v>
      </c>
      <c r="V11" s="10" t="s">
        <v>12</v>
      </c>
      <c r="W11" s="10" t="s">
        <v>12</v>
      </c>
      <c r="X11" s="10" t="s">
        <v>12</v>
      </c>
      <c r="Y11" s="10" t="s">
        <v>12</v>
      </c>
      <c r="Z11" s="7" t="s">
        <v>8</v>
      </c>
      <c r="AA11" s="7" t="s">
        <v>8</v>
      </c>
      <c r="AB11" s="8" t="s">
        <v>10</v>
      </c>
      <c r="AC11" s="8" t="s">
        <v>10</v>
      </c>
      <c r="AD11" s="8" t="s">
        <v>10</v>
      </c>
      <c r="AE11" s="8" t="s">
        <v>10</v>
      </c>
      <c r="AF11" s="8" t="s">
        <v>10</v>
      </c>
      <c r="AG11" s="7" t="s">
        <v>8</v>
      </c>
      <c r="AH11" s="7" t="s">
        <v>8</v>
      </c>
      <c r="AI11" s="6" t="s">
        <v>11</v>
      </c>
      <c r="AJ11" s="6" t="s">
        <v>11</v>
      </c>
      <c r="AK11" s="6" t="s">
        <v>11</v>
      </c>
      <c r="AL11" s="6" t="s">
        <v>11</v>
      </c>
      <c r="AM11" s="6" t="s">
        <v>11</v>
      </c>
    </row>
    <row r="12" spans="1:39" x14ac:dyDescent="0.25">
      <c r="A12" s="12" t="s">
        <v>22</v>
      </c>
      <c r="B12" s="10" t="s">
        <v>12</v>
      </c>
      <c r="C12" s="10" t="s">
        <v>12</v>
      </c>
      <c r="D12" s="10" t="s">
        <v>12</v>
      </c>
      <c r="E12" s="10" t="s">
        <v>12</v>
      </c>
      <c r="F12" s="7" t="s">
        <v>8</v>
      </c>
      <c r="G12" s="7" t="s">
        <v>8</v>
      </c>
      <c r="H12" s="8" t="s">
        <v>10</v>
      </c>
      <c r="I12" s="8" t="s">
        <v>10</v>
      </c>
      <c r="J12" s="8" t="s">
        <v>10</v>
      </c>
      <c r="K12" s="8" t="s">
        <v>10</v>
      </c>
      <c r="L12" s="8" t="s">
        <v>10</v>
      </c>
      <c r="M12" s="7" t="s">
        <v>8</v>
      </c>
      <c r="N12" s="7" t="s">
        <v>8</v>
      </c>
      <c r="O12" s="6" t="s">
        <v>11</v>
      </c>
      <c r="P12" s="6" t="s">
        <v>11</v>
      </c>
      <c r="Q12" s="6" t="s">
        <v>11</v>
      </c>
      <c r="R12" s="6" t="s">
        <v>11</v>
      </c>
      <c r="S12" s="6" t="s">
        <v>11</v>
      </c>
      <c r="T12" s="7" t="s">
        <v>8</v>
      </c>
      <c r="U12" s="7" t="s">
        <v>8</v>
      </c>
      <c r="V12" s="10" t="s">
        <v>12</v>
      </c>
      <c r="W12" s="10" t="s">
        <v>12</v>
      </c>
      <c r="X12" s="10" t="s">
        <v>12</v>
      </c>
      <c r="Y12" s="10" t="s">
        <v>12</v>
      </c>
      <c r="Z12" s="10" t="s">
        <v>12</v>
      </c>
      <c r="AA12" s="7" t="s">
        <v>8</v>
      </c>
      <c r="AB12" s="7" t="s">
        <v>8</v>
      </c>
      <c r="AC12" s="8" t="s">
        <v>10</v>
      </c>
      <c r="AD12" s="8" t="s">
        <v>10</v>
      </c>
      <c r="AE12" s="8" t="s">
        <v>10</v>
      </c>
      <c r="AF12" s="8" t="s">
        <v>10</v>
      </c>
      <c r="AG12" s="8" t="s">
        <v>10</v>
      </c>
      <c r="AH12" s="7" t="s">
        <v>8</v>
      </c>
      <c r="AI12" s="7" t="s">
        <v>8</v>
      </c>
      <c r="AJ12" s="6" t="s">
        <v>11</v>
      </c>
      <c r="AK12" s="6" t="s">
        <v>11</v>
      </c>
      <c r="AL12" s="6" t="s">
        <v>11</v>
      </c>
      <c r="AM12" s="6" t="s">
        <v>11</v>
      </c>
    </row>
    <row r="13" spans="1:39" x14ac:dyDescent="0.25">
      <c r="A13" s="12" t="s">
        <v>28</v>
      </c>
      <c r="B13" s="7" t="s">
        <v>8</v>
      </c>
      <c r="C13" s="8" t="s">
        <v>10</v>
      </c>
      <c r="D13" s="8" t="s">
        <v>10</v>
      </c>
      <c r="E13" s="8" t="s">
        <v>10</v>
      </c>
      <c r="F13" s="8" t="s">
        <v>10</v>
      </c>
      <c r="G13" s="8" t="s">
        <v>10</v>
      </c>
      <c r="H13" s="7" t="s">
        <v>8</v>
      </c>
      <c r="I13" s="7" t="s">
        <v>8</v>
      </c>
      <c r="J13" s="13" t="s">
        <v>27</v>
      </c>
      <c r="K13" s="13" t="s">
        <v>27</v>
      </c>
      <c r="L13" s="6" t="s">
        <v>11</v>
      </c>
      <c r="M13" s="6" t="s">
        <v>11</v>
      </c>
      <c r="N13" s="6" t="s">
        <v>11</v>
      </c>
      <c r="O13" s="7" t="s">
        <v>8</v>
      </c>
      <c r="P13" s="7" t="s">
        <v>8</v>
      </c>
      <c r="Q13" s="10" t="s">
        <v>12</v>
      </c>
      <c r="R13" s="10" t="s">
        <v>12</v>
      </c>
      <c r="S13" s="10" t="s">
        <v>12</v>
      </c>
      <c r="T13" s="10" t="s">
        <v>12</v>
      </c>
      <c r="U13" s="10" t="s">
        <v>12</v>
      </c>
      <c r="V13" s="7" t="s">
        <v>8</v>
      </c>
      <c r="W13" s="7" t="s">
        <v>8</v>
      </c>
      <c r="X13" s="8" t="s">
        <v>10</v>
      </c>
      <c r="Y13" s="8" t="s">
        <v>10</v>
      </c>
      <c r="Z13" s="8" t="s">
        <v>10</v>
      </c>
      <c r="AA13" s="8" t="s">
        <v>10</v>
      </c>
      <c r="AB13" s="8" t="s">
        <v>10</v>
      </c>
      <c r="AC13" s="7" t="s">
        <v>8</v>
      </c>
      <c r="AD13" s="7" t="s">
        <v>8</v>
      </c>
      <c r="AE13" s="6" t="s">
        <v>11</v>
      </c>
      <c r="AF13" s="6" t="s">
        <v>11</v>
      </c>
      <c r="AG13" s="6" t="s">
        <v>11</v>
      </c>
      <c r="AH13" s="6" t="s">
        <v>11</v>
      </c>
      <c r="AI13" s="6" t="s">
        <v>11</v>
      </c>
      <c r="AJ13" s="7" t="s">
        <v>8</v>
      </c>
      <c r="AK13" s="7" t="s">
        <v>8</v>
      </c>
      <c r="AL13" s="10" t="s">
        <v>12</v>
      </c>
      <c r="AM13" s="10" t="s">
        <v>12</v>
      </c>
    </row>
    <row r="15" spans="1:39" ht="15.75" x14ac:dyDescent="0.25">
      <c r="A15" s="5" t="s">
        <v>23</v>
      </c>
      <c r="B15" s="9">
        <f>COUNTIF(B3:B13,"M*")</f>
        <v>2</v>
      </c>
      <c r="C15" s="9">
        <f>COUNTIF(C3:C13,"M*")</f>
        <v>2</v>
      </c>
      <c r="D15" s="9">
        <f>COUNTIF(D3:D13,"M*")</f>
        <v>2</v>
      </c>
      <c r="E15" s="9">
        <f>COUNTIF(E3:E13,"M*")</f>
        <v>2</v>
      </c>
      <c r="F15" s="9">
        <f>COUNTIF(F3:F13,"M*")</f>
        <v>2</v>
      </c>
      <c r="G15" s="9">
        <f>COUNTIF(G3:G13,"M*")</f>
        <v>2</v>
      </c>
      <c r="H15" s="9">
        <f>COUNTIF(H3:H13,"M*")</f>
        <v>2</v>
      </c>
      <c r="I15" s="9">
        <f>COUNTIF(I3:I13,"M*")</f>
        <v>2</v>
      </c>
      <c r="J15" s="9">
        <f>COUNTIF(J3:J13,"M*")</f>
        <v>2</v>
      </c>
      <c r="K15" s="9">
        <f>COUNTIF(K3:K13,"M*")</f>
        <v>2</v>
      </c>
      <c r="L15" s="9">
        <f>COUNTIF(L3:L13,"M*")</f>
        <v>2</v>
      </c>
      <c r="M15" s="9">
        <f>COUNTIF(M3:M13,"M*")</f>
        <v>3</v>
      </c>
      <c r="N15" s="9">
        <f>COUNTIF(N3:N13,"M*")</f>
        <v>2</v>
      </c>
      <c r="O15" s="9">
        <f>COUNTIF(O3:O13,"M*")</f>
        <v>2</v>
      </c>
      <c r="P15" s="9">
        <f>COUNTIF(P3:P13,"M*")</f>
        <v>2</v>
      </c>
      <c r="Q15" s="9">
        <f>COUNTIF(Q3:Q13,"M*")</f>
        <v>2</v>
      </c>
      <c r="R15" s="9">
        <f>COUNTIF(R3:R13,"M*")</f>
        <v>2</v>
      </c>
      <c r="S15" s="9">
        <f>COUNTIF(S3:S13,"M*")</f>
        <v>2</v>
      </c>
      <c r="T15" s="9">
        <f>COUNTIF(T3:T13,"M*")</f>
        <v>2</v>
      </c>
      <c r="U15" s="9">
        <f>COUNTIF(U3:U13,"M*")</f>
        <v>2</v>
      </c>
      <c r="V15" s="9">
        <f>COUNTIF(V3:V13,"M*")</f>
        <v>2</v>
      </c>
      <c r="W15" s="9">
        <f>COUNTIF(W3:W13,"M*")</f>
        <v>2</v>
      </c>
      <c r="X15" s="9">
        <f>COUNTIF(X3:X13,"M*")</f>
        <v>2</v>
      </c>
      <c r="Y15" s="9">
        <f>COUNTIF(Y3:Y13,"M*")</f>
        <v>2</v>
      </c>
      <c r="Z15" s="9">
        <f>COUNTIF(Z3:Z13,"M*")</f>
        <v>2</v>
      </c>
      <c r="AA15" s="9">
        <f>COUNTIF(AA3:AA13,"M*")</f>
        <v>2</v>
      </c>
      <c r="AB15" s="9">
        <f>COUNTIF(AB3:AB13,"M*")</f>
        <v>1</v>
      </c>
      <c r="AC15" s="9">
        <f>COUNTIF(AC3:AC13,"M*")</f>
        <v>1</v>
      </c>
      <c r="AD15" s="9">
        <f>COUNTIF(AD3:AD13,"M*")</f>
        <v>1</v>
      </c>
      <c r="AE15" s="9">
        <f>COUNTIF(AE3:AE13,"M*")</f>
        <v>2</v>
      </c>
      <c r="AF15" s="9">
        <f>COUNTIF(AF3:AF13,"M*")</f>
        <v>2</v>
      </c>
      <c r="AG15" s="9">
        <f>COUNTIF(AG3:AG13,"M*")</f>
        <v>2</v>
      </c>
      <c r="AH15" s="9">
        <f>COUNTIF(AH3:AH13,"M*")</f>
        <v>2</v>
      </c>
      <c r="AI15" s="9">
        <f>COUNTIF(AI3:AI13,"M*")</f>
        <v>2</v>
      </c>
      <c r="AJ15" s="9">
        <f>COUNTIF(AJ3:AJ13,"M*")</f>
        <v>2</v>
      </c>
      <c r="AK15" s="9">
        <f>COUNTIF(AK3:AK13,"M*")</f>
        <v>2</v>
      </c>
      <c r="AL15" s="9">
        <f>COUNTIF(AL3:AL13,"M*")</f>
        <v>2</v>
      </c>
      <c r="AM15" s="9">
        <f>COUNTIF(AM3:AM13,"M*")</f>
        <v>3</v>
      </c>
    </row>
    <row r="16" spans="1:39" ht="15.75" x14ac:dyDescent="0.25">
      <c r="A16" s="5" t="s">
        <v>24</v>
      </c>
      <c r="B16" s="9">
        <f>COUNTIF(B3:B13,"A")</f>
        <v>2</v>
      </c>
      <c r="C16" s="9">
        <f>COUNTIF(C3:C13,"A")</f>
        <v>3</v>
      </c>
      <c r="D16" s="9">
        <f>COUNTIF(D3:D13,"A")</f>
        <v>3</v>
      </c>
      <c r="E16" s="9">
        <f>COUNTIF(E3:E13,"A")</f>
        <v>2</v>
      </c>
      <c r="F16" s="9">
        <f>COUNTIF(F3:F13,"A")</f>
        <v>3</v>
      </c>
      <c r="G16" s="9">
        <f>COUNTIF(G3:G13,"A")</f>
        <v>2</v>
      </c>
      <c r="H16" s="9">
        <f>COUNTIF(H3:H13,"A")</f>
        <v>2</v>
      </c>
      <c r="I16" s="9">
        <f>COUNTIF(I3:I13,"A")</f>
        <v>2</v>
      </c>
      <c r="J16" s="9">
        <f>COUNTIF(J3:J13,"A")</f>
        <v>2</v>
      </c>
      <c r="K16" s="9">
        <f>COUNTIF(K3:K13,"A")</f>
        <v>2</v>
      </c>
      <c r="L16" s="9">
        <f>COUNTIF(L3:L13,"A")</f>
        <v>2</v>
      </c>
      <c r="M16" s="9">
        <f>COUNTIF(M3:M13,"A")</f>
        <v>2</v>
      </c>
      <c r="N16" s="9">
        <f>COUNTIF(N3:N13,"A")</f>
        <v>3</v>
      </c>
      <c r="O16" s="9">
        <f>COUNTIF(O3:O13,"A")</f>
        <v>3</v>
      </c>
      <c r="P16" s="9">
        <f>COUNTIF(P3:P13,"A")</f>
        <v>3</v>
      </c>
      <c r="Q16" s="9">
        <f>COUNTIF(Q3:Q13,"A")</f>
        <v>3</v>
      </c>
      <c r="R16" s="9">
        <f>COUNTIF(R3:R13,"A")</f>
        <v>3</v>
      </c>
      <c r="S16" s="9">
        <f>COUNTIF(S3:S13,"A")</f>
        <v>2</v>
      </c>
      <c r="T16" s="9">
        <f>COUNTIF(T3:T13,"A")</f>
        <v>3</v>
      </c>
      <c r="U16" s="9">
        <f>COUNTIF(U3:U13,"A")</f>
        <v>2</v>
      </c>
      <c r="V16" s="9">
        <f>COUNTIF(V3:V13,"A")</f>
        <v>2</v>
      </c>
      <c r="W16" s="9">
        <f>COUNTIF(W3:W13,"A")</f>
        <v>2</v>
      </c>
      <c r="X16" s="9">
        <f>COUNTIF(X3:X13,"A")</f>
        <v>3</v>
      </c>
      <c r="Y16" s="9">
        <f>COUNTIF(Y3:Y13,"A")</f>
        <v>2</v>
      </c>
      <c r="Z16" s="9">
        <f>COUNTIF(Z3:Z13,"A")</f>
        <v>2</v>
      </c>
      <c r="AA16" s="9">
        <f>COUNTIF(AA3:AA13,"A")</f>
        <v>2</v>
      </c>
      <c r="AB16" s="9">
        <f>COUNTIF(AB3:AB13,"A")</f>
        <v>2</v>
      </c>
      <c r="AC16" s="9">
        <f>COUNTIF(AC3:AC13,"A")</f>
        <v>2</v>
      </c>
      <c r="AD16" s="9">
        <f>COUNTIF(AD3:AD13,"A")</f>
        <v>2</v>
      </c>
      <c r="AE16" s="9">
        <f>COUNTIF(AE3:AE13,"A")</f>
        <v>2</v>
      </c>
      <c r="AF16" s="9">
        <f>COUNTIF(AF3:AF13,"A")</f>
        <v>3</v>
      </c>
      <c r="AG16" s="9">
        <f>COUNTIF(AG3:AG13,"A")</f>
        <v>2</v>
      </c>
      <c r="AH16" s="9">
        <f>COUNTIF(AH3:AH13,"A")</f>
        <v>2</v>
      </c>
      <c r="AI16" s="9">
        <f>COUNTIF(AI3:AI13,"A")</f>
        <v>2</v>
      </c>
      <c r="AJ16" s="9">
        <f>COUNTIF(AJ3:AJ13,"A")</f>
        <v>2</v>
      </c>
      <c r="AK16" s="9">
        <f>COUNTIF(AK3:AK13,"A")</f>
        <v>2</v>
      </c>
      <c r="AL16" s="9">
        <f>COUNTIF(AL3:AL13,"A")</f>
        <v>2</v>
      </c>
      <c r="AM16" s="9">
        <f>COUNTIF(AM3:AM13,"A")</f>
        <v>2</v>
      </c>
    </row>
    <row r="17" spans="1:39" ht="15.75" x14ac:dyDescent="0.25">
      <c r="A17" s="5" t="s">
        <v>25</v>
      </c>
      <c r="B17" s="9">
        <f>COUNTIF(B3:B13,"N")</f>
        <v>2</v>
      </c>
      <c r="C17" s="9">
        <f>COUNTIF(C3:C13,"N")</f>
        <v>2</v>
      </c>
      <c r="D17" s="9">
        <f>COUNTIF(D3:D13,"N")</f>
        <v>2</v>
      </c>
      <c r="E17" s="9">
        <f>COUNTIF(E3:E13,"N")</f>
        <v>2</v>
      </c>
      <c r="F17" s="9">
        <f>COUNTIF(F3:F13,"N")</f>
        <v>2</v>
      </c>
      <c r="G17" s="9">
        <f>COUNTIF(G3:G13,"N")</f>
        <v>2</v>
      </c>
      <c r="H17" s="9">
        <f>COUNTIF(H3:H13,"N")</f>
        <v>2</v>
      </c>
      <c r="I17" s="9">
        <f>COUNTIF(I3:I13,"N")</f>
        <v>2</v>
      </c>
      <c r="J17" s="9">
        <f>COUNTIF(J3:J13,"N")</f>
        <v>2</v>
      </c>
      <c r="K17" s="9">
        <f>COUNTIF(K3:K13,"N")</f>
        <v>2</v>
      </c>
      <c r="L17" s="9">
        <f>COUNTIF(L3:L13,"N")</f>
        <v>2</v>
      </c>
      <c r="M17" s="9">
        <f>COUNTIF(M3:M13,"N")</f>
        <v>2</v>
      </c>
      <c r="N17" s="9">
        <f>COUNTIF(N3:N13,"N")</f>
        <v>1</v>
      </c>
      <c r="O17" s="9">
        <f>COUNTIF(O3:O13,"N")</f>
        <v>1</v>
      </c>
      <c r="P17" s="9">
        <f>COUNTIF(P3:P13,"N")</f>
        <v>1</v>
      </c>
      <c r="Q17" s="9">
        <f>COUNTIF(Q3:Q13,"N")</f>
        <v>2</v>
      </c>
      <c r="R17" s="9">
        <f>COUNTIF(R3:R13,"N")</f>
        <v>2</v>
      </c>
      <c r="S17" s="9">
        <f>COUNTIF(S3:S13,"N")</f>
        <v>2</v>
      </c>
      <c r="T17" s="9">
        <f>COUNTIF(T3:T13,"N")</f>
        <v>2</v>
      </c>
      <c r="U17" s="9">
        <f>COUNTIF(U3:U13,"N")</f>
        <v>2</v>
      </c>
      <c r="V17" s="9">
        <f>COUNTIF(V3:V13,"N")</f>
        <v>2</v>
      </c>
      <c r="W17" s="9">
        <f>COUNTIF(W3:W13,"N")</f>
        <v>2</v>
      </c>
      <c r="X17" s="9">
        <f>COUNTIF(X3:X13,"N")</f>
        <v>2</v>
      </c>
      <c r="Y17" s="9">
        <f>COUNTIF(Y3:Y13,"N")</f>
        <v>3</v>
      </c>
      <c r="Z17" s="9">
        <f>COUNTIF(Z3:Z13,"N")</f>
        <v>2</v>
      </c>
      <c r="AA17" s="9">
        <f>COUNTIF(AA3:AA13,"N")</f>
        <v>2</v>
      </c>
      <c r="AB17" s="9">
        <f>COUNTIF(AB3:AB13,"N")</f>
        <v>2</v>
      </c>
      <c r="AC17" s="9">
        <f>COUNTIF(AC3:AC13,"N")</f>
        <v>2</v>
      </c>
      <c r="AD17" s="9">
        <f>COUNTIF(AD3:AD13,"N")</f>
        <v>2</v>
      </c>
      <c r="AE17" s="9">
        <f>COUNTIF(AE3:AE13,"N")</f>
        <v>2</v>
      </c>
      <c r="AF17" s="9">
        <f>COUNTIF(AF3:AF13,"N")</f>
        <v>2</v>
      </c>
      <c r="AG17" s="9">
        <f>COUNTIF(AG3:AG13,"N")</f>
        <v>2</v>
      </c>
      <c r="AH17" s="9">
        <f>COUNTIF(AH3:AH13,"N")</f>
        <v>2</v>
      </c>
      <c r="AI17" s="9">
        <f>COUNTIF(AI3:AI13,"N")</f>
        <v>1</v>
      </c>
      <c r="AJ17" s="9">
        <f>COUNTIF(AJ3:AJ13,"N")</f>
        <v>1</v>
      </c>
      <c r="AK17" s="9">
        <f>COUNTIF(AK3:AK13,"N")</f>
        <v>1</v>
      </c>
      <c r="AL17" s="9">
        <f>COUNTIF(AL3:AL13,"N")</f>
        <v>2</v>
      </c>
      <c r="AM17" s="9">
        <f>COUNTIF(AM3:AM13,"N")</f>
        <v>2</v>
      </c>
    </row>
    <row r="18" spans="1:39" ht="15.75" x14ac:dyDescent="0.25">
      <c r="A18" s="5" t="s">
        <v>26</v>
      </c>
      <c r="B18" s="9">
        <f>COUNTIF(B3:B13,"OL")</f>
        <v>1</v>
      </c>
      <c r="C18" s="9">
        <f>COUNTIF(C3:C13,"OL")</f>
        <v>0</v>
      </c>
      <c r="D18" s="9">
        <f>COUNTIF(D3:D13,"OL")</f>
        <v>0</v>
      </c>
      <c r="E18" s="9">
        <f>COUNTIF(E3:E13,"OL")</f>
        <v>0</v>
      </c>
      <c r="F18" s="9">
        <f>COUNTIF(F3:F13,"OL")</f>
        <v>0</v>
      </c>
      <c r="G18" s="9">
        <f>COUNTIF(G3:G13,"OL")</f>
        <v>0</v>
      </c>
      <c r="H18" s="9">
        <f>COUNTIF(H3:H13,"OL")</f>
        <v>0</v>
      </c>
      <c r="I18" s="9">
        <f>COUNTIF(I3:I13,"OL")</f>
        <v>0</v>
      </c>
      <c r="J18" s="9">
        <f>COUNTIF(J3:J13,"OL")</f>
        <v>1</v>
      </c>
      <c r="K18" s="9">
        <f>COUNTIF(K3:K13,"OL")</f>
        <v>1</v>
      </c>
      <c r="L18" s="9">
        <f>COUNTIF(L3:L13,"OL")</f>
        <v>0</v>
      </c>
      <c r="M18" s="9">
        <f>COUNTIF(M3:M13,"OL")</f>
        <v>0</v>
      </c>
      <c r="N18" s="9">
        <f>COUNTIF(N3:N13,"OL")</f>
        <v>0</v>
      </c>
      <c r="O18" s="9">
        <f>COUNTIF(O3:O13,"OL")</f>
        <v>0</v>
      </c>
      <c r="P18" s="9">
        <f>COUNTIF(P3:P13,"OL")</f>
        <v>0</v>
      </c>
      <c r="Q18" s="9">
        <f>COUNTIF(Q3:Q13,"OL")</f>
        <v>0</v>
      </c>
      <c r="R18" s="9">
        <f>COUNTIF(R3:R13,"OL")</f>
        <v>0</v>
      </c>
      <c r="S18" s="9">
        <f>COUNTIF(S3:S13,"OL")</f>
        <v>1</v>
      </c>
      <c r="T18" s="9">
        <f>COUNTIF(T3:T13,"OL")</f>
        <v>1</v>
      </c>
      <c r="U18" s="9">
        <f>COUNTIF(U3:U13,"OL")</f>
        <v>1</v>
      </c>
      <c r="V18" s="9">
        <f>COUNTIF(V3:V13,"OL")</f>
        <v>1</v>
      </c>
      <c r="W18" s="9">
        <f>COUNTIF(W3:W13,"OL")</f>
        <v>1</v>
      </c>
      <c r="X18" s="9">
        <f>COUNTIF(X3:X13,"OL")</f>
        <v>1</v>
      </c>
      <c r="Y18" s="9">
        <f>COUNTIF(Y3:Y13,"OL")</f>
        <v>0</v>
      </c>
      <c r="Z18" s="9">
        <f>COUNTIF(Z3:Z13,"OL")</f>
        <v>0</v>
      </c>
      <c r="AA18" s="9">
        <f>COUNTIF(AA3:AA13,"OL")</f>
        <v>1</v>
      </c>
      <c r="AB18" s="9">
        <f>COUNTIF(AB3:AB13,"OL")</f>
        <v>1</v>
      </c>
      <c r="AC18" s="9">
        <f>COUNTIF(AC3:AC13,"OL")</f>
        <v>1</v>
      </c>
      <c r="AD18" s="9">
        <f>COUNTIF(AD3:AD13,"OL")</f>
        <v>1</v>
      </c>
      <c r="AE18" s="9">
        <f>COUNTIF(AE3:AE13,"OL")</f>
        <v>1</v>
      </c>
      <c r="AF18" s="9">
        <f>COUNTIF(AF3:AF13,"OL")</f>
        <v>0</v>
      </c>
      <c r="AG18" s="9">
        <f>COUNTIF(AG3:AG13,"OL")</f>
        <v>0</v>
      </c>
      <c r="AH18" s="9">
        <f>COUNTIF(AH3:AH13,"OL")</f>
        <v>0</v>
      </c>
      <c r="AI18" s="9">
        <f>COUNTIF(AI3:AI13,"OL")</f>
        <v>0</v>
      </c>
      <c r="AJ18" s="9">
        <f>COUNTIF(AJ3:AJ13,"OL")</f>
        <v>0</v>
      </c>
      <c r="AK18" s="9">
        <f>COUNTIF(AK3:AK13,"OL")</f>
        <v>0</v>
      </c>
      <c r="AL18" s="9">
        <f>COUNTIF(AL3:AL13,"OL")</f>
        <v>0</v>
      </c>
      <c r="AM18" s="9">
        <f>COUNTIF(AM3:AM13,"OL")</f>
        <v>0</v>
      </c>
    </row>
    <row r="21" spans="1:39" x14ac:dyDescent="0.25">
      <c r="A21" s="11"/>
    </row>
    <row r="22" spans="1:39" x14ac:dyDescent="0.25">
      <c r="A22" s="11"/>
    </row>
    <row r="23" spans="1:39" x14ac:dyDescent="0.25">
      <c r="A23" s="11"/>
    </row>
    <row r="24" spans="1:39" x14ac:dyDescent="0.25">
      <c r="A24" s="11"/>
    </row>
  </sheetData>
  <mergeCells count="3">
    <mergeCell ref="E3:P3"/>
    <mergeCell ref="Z6:AM6"/>
    <mergeCell ref="AH4:AM4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Ashoor</dc:creator>
  <cp:lastModifiedBy>Ahmed Ashoor</cp:lastModifiedBy>
  <dcterms:created xsi:type="dcterms:W3CDTF">2025-02-02T07:31:59Z</dcterms:created>
  <dcterms:modified xsi:type="dcterms:W3CDTF">2025-10-30T12:21:35Z</dcterms:modified>
</cp:coreProperties>
</file>